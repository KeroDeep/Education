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ducation\Novosibirsk_State_University\Дипломная работа\"/>
    </mc:Choice>
  </mc:AlternateContent>
  <xr:revisionPtr revIDLastSave="0" documentId="13_ncr:1_{A4454BAD-B189-4B09-A8C0-97035AF79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Шабло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13" i="1"/>
  <c r="E12" i="1"/>
  <c r="E11" i="1"/>
  <c r="E10" i="1"/>
  <c r="E9" i="1"/>
  <c r="E8" i="1"/>
  <c r="E7" i="1"/>
  <c r="E6" i="1"/>
  <c r="E4" i="1"/>
  <c r="E3" i="1"/>
  <c r="E2" i="1"/>
</calcChain>
</file>

<file path=xl/sharedStrings.xml><?xml version="1.0" encoding="utf-8"?>
<sst xmlns="http://schemas.openxmlformats.org/spreadsheetml/2006/main" count="17" uniqueCount="17">
  <si>
    <t>Начало</t>
  </si>
  <si>
    <t>Длительность</t>
  </si>
  <si>
    <t>Конец</t>
  </si>
  <si>
    <t>Изучение литературы и принципов работы экспериментальной установки</t>
  </si>
  <si>
    <t>Создание модуля для считывания данных с осциллографа</t>
  </si>
  <si>
    <t>Создание модуля для управления лазером</t>
  </si>
  <si>
    <t>Создание модуля для управления монохроматором</t>
  </si>
  <si>
    <t>Создание модуля для считывания данных с измерителя энергии</t>
  </si>
  <si>
    <t>Создания модуля для расчета спектра и выполнения аппроксимации</t>
  </si>
  <si>
    <t>Создание интерфейса пользователя и объединение всех модулей</t>
  </si>
  <si>
    <t>Реализация режима автокалибровки</t>
  </si>
  <si>
    <t>Проведения тестов в условиях реальной установки</t>
  </si>
  <si>
    <t>Анализ эффективности программного комплекса</t>
  </si>
  <si>
    <t>Оформления текста хода работ и полученных результатах</t>
  </si>
  <si>
    <t>Задачи</t>
  </si>
  <si>
    <t>№</t>
  </si>
  <si>
    <t>Оформления актуальности, области исследований, задач и цели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</si>
</sst>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681103395061728"/>
          <c:y val="6.4519135802469138E-2"/>
          <c:w val="0.58183094135802471"/>
          <c:h val="0.925681481481481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Шаблон!$C$1</c:f>
              <c:strCache>
                <c:ptCount val="1"/>
                <c:pt idx="0">
                  <c:v>Начало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Шаблон!$B$2:$B$13</c:f>
              <c:strCache>
                <c:ptCount val="12"/>
                <c:pt idx="0">
                  <c:v>Изучение литературы и принципов работы экспериментальной установки</c:v>
                </c:pt>
                <c:pt idx="1">
                  <c:v>Оформления актуальности, области исследований, задач и цели работы</c:v>
                </c:pt>
                <c:pt idx="2">
                  <c:v>Создание модуля для считывания данных с осциллографа</c:v>
                </c:pt>
                <c:pt idx="3">
                  <c:v>Создание модуля для управления лазером</c:v>
                </c:pt>
                <c:pt idx="4">
                  <c:v>Создание модуля для управления монохроматором</c:v>
                </c:pt>
                <c:pt idx="5">
                  <c:v>Создание модуля для считывания данных с измерителя энергии</c:v>
                </c:pt>
                <c:pt idx="6">
                  <c:v>Создания модуля для расчета спектра и выполнения аппроксимации</c:v>
                </c:pt>
                <c:pt idx="7">
                  <c:v>Создание интерфейса пользователя и объединение всех модулей</c:v>
                </c:pt>
                <c:pt idx="8">
                  <c:v>Реализация режима автокалибровки</c:v>
                </c:pt>
                <c:pt idx="9">
                  <c:v>Проведения тестов в условиях реальной установки</c:v>
                </c:pt>
                <c:pt idx="10">
                  <c:v>Анализ эффективности программного комплекса</c:v>
                </c:pt>
                <c:pt idx="11">
                  <c:v>Оформления текста хода работ и полученных результатах</c:v>
                </c:pt>
              </c:strCache>
            </c:strRef>
          </c:cat>
          <c:val>
            <c:numRef>
              <c:f>Шаблон!$C$2:$C$13</c:f>
              <c:numCache>
                <c:formatCode>m/d/yyyy</c:formatCode>
                <c:ptCount val="12"/>
                <c:pt idx="0">
                  <c:v>45902</c:v>
                </c:pt>
                <c:pt idx="1">
                  <c:v>45917</c:v>
                </c:pt>
                <c:pt idx="2">
                  <c:v>45931</c:v>
                </c:pt>
                <c:pt idx="3">
                  <c:v>45931</c:v>
                </c:pt>
                <c:pt idx="4">
                  <c:v>45931</c:v>
                </c:pt>
                <c:pt idx="5">
                  <c:v>45931</c:v>
                </c:pt>
                <c:pt idx="6">
                  <c:v>45931</c:v>
                </c:pt>
                <c:pt idx="7">
                  <c:v>45931</c:v>
                </c:pt>
                <c:pt idx="8">
                  <c:v>45931</c:v>
                </c:pt>
                <c:pt idx="9">
                  <c:v>46082</c:v>
                </c:pt>
                <c:pt idx="10">
                  <c:v>46082</c:v>
                </c:pt>
                <c:pt idx="11">
                  <c:v>46143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D-4F2B-B76A-12BCDCB12B08}"/>
            </c:ext>
          </c:extLst>
        </c:ser>
        <c:ser>
          <c:idx val="1"/>
          <c:order val="1"/>
          <c:tx>
            <c:v>Длительность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89A-4ADB-9A9B-0EAA6590908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9A-4ADB-9A9B-0EAA6590908F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A-4ADB-9A9B-0EAA6590908F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89A-4ADB-9A9B-0EAA6590908F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9A-4ADB-9A9B-0EAA6590908F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89A-4ADB-9A9B-0EAA6590908F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9A-4ADB-9A9B-0EAA6590908F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89A-4ADB-9A9B-0EAA6590908F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9A-4ADB-9A9B-0EAA6590908F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9A-4ADB-9A9B-0EAA6590908F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9A-4ADB-9A9B-0EAA6590908F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9A-4ADB-9A9B-0EAA6590908F}"/>
              </c:ext>
            </c:extLst>
          </c:dPt>
          <c:cat>
            <c:strRef>
              <c:f>Шаблон!$B$2:$B$13</c:f>
              <c:strCache>
                <c:ptCount val="12"/>
                <c:pt idx="0">
                  <c:v>Изучение литературы и принципов работы экспериментальной установки</c:v>
                </c:pt>
                <c:pt idx="1">
                  <c:v>Оформления актуальности, области исследований, задач и цели работы</c:v>
                </c:pt>
                <c:pt idx="2">
                  <c:v>Создание модуля для считывания данных с осциллографа</c:v>
                </c:pt>
                <c:pt idx="3">
                  <c:v>Создание модуля для управления лазером</c:v>
                </c:pt>
                <c:pt idx="4">
                  <c:v>Создание модуля для управления монохроматором</c:v>
                </c:pt>
                <c:pt idx="5">
                  <c:v>Создание модуля для считывания данных с измерителя энергии</c:v>
                </c:pt>
                <c:pt idx="6">
                  <c:v>Создания модуля для расчета спектра и выполнения аппроксимации</c:v>
                </c:pt>
                <c:pt idx="7">
                  <c:v>Создание интерфейса пользователя и объединение всех модулей</c:v>
                </c:pt>
                <c:pt idx="8">
                  <c:v>Реализация режима автокалибровки</c:v>
                </c:pt>
                <c:pt idx="9">
                  <c:v>Проведения тестов в условиях реальной установки</c:v>
                </c:pt>
                <c:pt idx="10">
                  <c:v>Анализ эффективности программного комплекса</c:v>
                </c:pt>
                <c:pt idx="11">
                  <c:v>Оформления текста хода работ и полученных результатах</c:v>
                </c:pt>
              </c:strCache>
            </c:strRef>
          </c:cat>
          <c:val>
            <c:numRef>
              <c:f>Шаблон!$E$2:$E$13</c:f>
              <c:numCache>
                <c:formatCode>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61</c:v>
                </c:pt>
                <c:pt idx="10">
                  <c:v>61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D-4F2B-B76A-12BCDCB1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1194272"/>
        <c:axId val="1581186784"/>
      </c:barChart>
      <c:catAx>
        <c:axId val="1581194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81186784"/>
        <c:crosses val="autoZero"/>
        <c:auto val="1"/>
        <c:lblAlgn val="ctr"/>
        <c:lblOffset val="100"/>
        <c:noMultiLvlLbl val="0"/>
      </c:catAx>
      <c:valAx>
        <c:axId val="1581186784"/>
        <c:scaling>
          <c:orientation val="minMax"/>
          <c:max val="46173"/>
          <c:min val="45902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dd/mm/yy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81194272"/>
        <c:crosses val="autoZero"/>
        <c:crossBetween val="between"/>
        <c:majorUnit val="30"/>
        <c:min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3022</xdr:rowOff>
    </xdr:from>
    <xdr:to>
      <xdr:col>11</xdr:col>
      <xdr:colOff>271043</xdr:colOff>
      <xdr:row>48</xdr:row>
      <xdr:rowOff>121979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2A4D800-AA32-416D-8DCD-331C3C0E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13" zoomScaleNormal="100" workbookViewId="0">
      <selection activeCell="P21" sqref="P21"/>
    </sheetView>
  </sheetViews>
  <sheetFormatPr defaultRowHeight="15.75" x14ac:dyDescent="0.25"/>
  <cols>
    <col min="1" max="1" width="4.7109375" style="7" customWidth="1"/>
    <col min="2" max="2" width="75.7109375" style="2" customWidth="1"/>
    <col min="3" max="4" width="12.7109375" style="7" customWidth="1"/>
    <col min="5" max="5" width="15.7109375" style="7" customWidth="1"/>
    <col min="6" max="6" width="9.140625" style="2" customWidth="1"/>
    <col min="7" max="8" width="9.140625" style="2"/>
    <col min="9" max="14" width="9.140625" style="2" customWidth="1"/>
    <col min="15" max="16384" width="9.140625" style="2"/>
  </cols>
  <sheetData>
    <row r="1" spans="1:5" x14ac:dyDescent="0.25">
      <c r="A1" s="4" t="s">
        <v>15</v>
      </c>
      <c r="B1" s="4" t="s">
        <v>14</v>
      </c>
      <c r="C1" s="4" t="s">
        <v>0</v>
      </c>
      <c r="D1" s="4" t="s">
        <v>2</v>
      </c>
      <c r="E1" s="4" t="s">
        <v>1</v>
      </c>
    </row>
    <row r="2" spans="1:5" x14ac:dyDescent="0.25">
      <c r="A2" s="9">
        <v>1</v>
      </c>
      <c r="B2" s="1" t="s">
        <v>3</v>
      </c>
      <c r="C2" s="5">
        <v>45902</v>
      </c>
      <c r="D2" s="5">
        <v>45916</v>
      </c>
      <c r="E2" s="8">
        <f t="shared" ref="E2:E13" si="0">_xlfn.DAYS(D2,C2)</f>
        <v>14</v>
      </c>
    </row>
    <row r="3" spans="1:5" x14ac:dyDescent="0.25">
      <c r="A3" s="9">
        <v>2</v>
      </c>
      <c r="B3" s="1" t="s">
        <v>16</v>
      </c>
      <c r="C3" s="5">
        <v>45917</v>
      </c>
      <c r="D3" s="5">
        <v>45930</v>
      </c>
      <c r="E3" s="8">
        <f t="shared" si="0"/>
        <v>13</v>
      </c>
    </row>
    <row r="4" spans="1:5" x14ac:dyDescent="0.25">
      <c r="A4" s="9">
        <v>3</v>
      </c>
      <c r="B4" s="1" t="s">
        <v>4</v>
      </c>
      <c r="C4" s="5">
        <v>45931</v>
      </c>
      <c r="D4" s="5">
        <v>46081</v>
      </c>
      <c r="E4" s="8">
        <f t="shared" si="0"/>
        <v>150</v>
      </c>
    </row>
    <row r="5" spans="1:5" x14ac:dyDescent="0.25">
      <c r="A5" s="9">
        <v>4</v>
      </c>
      <c r="B5" s="1" t="s">
        <v>5</v>
      </c>
      <c r="C5" s="5">
        <v>45931</v>
      </c>
      <c r="D5" s="5">
        <v>46081</v>
      </c>
      <c r="E5" s="8">
        <f>_xlfn.DAYS(D5,C5)</f>
        <v>150</v>
      </c>
    </row>
    <row r="6" spans="1:5" x14ac:dyDescent="0.25">
      <c r="A6" s="9">
        <v>5</v>
      </c>
      <c r="B6" s="1" t="s">
        <v>6</v>
      </c>
      <c r="C6" s="5">
        <v>45931</v>
      </c>
      <c r="D6" s="5">
        <v>46081</v>
      </c>
      <c r="E6" s="8">
        <f t="shared" si="0"/>
        <v>150</v>
      </c>
    </row>
    <row r="7" spans="1:5" x14ac:dyDescent="0.25">
      <c r="A7" s="9">
        <v>6</v>
      </c>
      <c r="B7" s="1" t="s">
        <v>7</v>
      </c>
      <c r="C7" s="5">
        <v>45931</v>
      </c>
      <c r="D7" s="5">
        <v>46081</v>
      </c>
      <c r="E7" s="8">
        <f t="shared" si="0"/>
        <v>150</v>
      </c>
    </row>
    <row r="8" spans="1:5" x14ac:dyDescent="0.25">
      <c r="A8" s="9">
        <v>7</v>
      </c>
      <c r="B8" s="1" t="s">
        <v>8</v>
      </c>
      <c r="C8" s="5">
        <v>45931</v>
      </c>
      <c r="D8" s="5">
        <v>46081</v>
      </c>
      <c r="E8" s="8">
        <f t="shared" si="0"/>
        <v>150</v>
      </c>
    </row>
    <row r="9" spans="1:5" x14ac:dyDescent="0.25">
      <c r="A9" s="9">
        <v>8</v>
      </c>
      <c r="B9" s="1" t="s">
        <v>9</v>
      </c>
      <c r="C9" s="5">
        <v>45931</v>
      </c>
      <c r="D9" s="5">
        <v>46081</v>
      </c>
      <c r="E9" s="8">
        <f t="shared" si="0"/>
        <v>150</v>
      </c>
    </row>
    <row r="10" spans="1:5" x14ac:dyDescent="0.25">
      <c r="A10" s="9">
        <v>9</v>
      </c>
      <c r="B10" s="1" t="s">
        <v>10</v>
      </c>
      <c r="C10" s="5">
        <v>45931</v>
      </c>
      <c r="D10" s="5">
        <v>46081</v>
      </c>
      <c r="E10" s="8">
        <f t="shared" si="0"/>
        <v>150</v>
      </c>
    </row>
    <row r="11" spans="1:5" x14ac:dyDescent="0.25">
      <c r="A11" s="9">
        <v>10</v>
      </c>
      <c r="B11" s="1" t="s">
        <v>11</v>
      </c>
      <c r="C11" s="5">
        <v>46082</v>
      </c>
      <c r="D11" s="5">
        <v>46143</v>
      </c>
      <c r="E11" s="8">
        <f t="shared" si="0"/>
        <v>61</v>
      </c>
    </row>
    <row r="12" spans="1:5" x14ac:dyDescent="0.25">
      <c r="A12" s="9">
        <v>11</v>
      </c>
      <c r="B12" s="1" t="s">
        <v>12</v>
      </c>
      <c r="C12" s="5">
        <v>46082</v>
      </c>
      <c r="D12" s="5">
        <v>46143</v>
      </c>
      <c r="E12" s="8">
        <f t="shared" si="0"/>
        <v>61</v>
      </c>
    </row>
    <row r="13" spans="1:5" x14ac:dyDescent="0.25">
      <c r="A13" s="9">
        <v>12</v>
      </c>
      <c r="B13" s="1" t="s">
        <v>13</v>
      </c>
      <c r="C13" s="5">
        <v>46143</v>
      </c>
      <c r="D13" s="5">
        <v>46173</v>
      </c>
      <c r="E13" s="8">
        <f t="shared" si="0"/>
        <v>30</v>
      </c>
    </row>
    <row r="14" spans="1:5" x14ac:dyDescent="0.25">
      <c r="B14" s="3"/>
      <c r="C14" s="6"/>
      <c r="D14" s="6"/>
      <c r="E14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Bogdan Klimov</cp:lastModifiedBy>
  <dcterms:created xsi:type="dcterms:W3CDTF">2025-12-07T09:48:10Z</dcterms:created>
  <dcterms:modified xsi:type="dcterms:W3CDTF">2025-12-16T15:23:29Z</dcterms:modified>
</cp:coreProperties>
</file>